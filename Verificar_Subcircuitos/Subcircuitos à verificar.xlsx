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ubcircuitos" sheetId="1" r:id="rId3"/>
  </sheets>
  <definedNames/>
  <calcPr/>
</workbook>
</file>

<file path=xl/sharedStrings.xml><?xml version="1.0" encoding="utf-8"?>
<sst xmlns="http://schemas.openxmlformats.org/spreadsheetml/2006/main" count="42" uniqueCount="9">
  <si>
    <t>Circuitos à Verificar :</t>
  </si>
  <si>
    <t>Cassiana</t>
  </si>
  <si>
    <t>CG</t>
  </si>
  <si>
    <t>Roma</t>
  </si>
  <si>
    <t>Comentários :</t>
  </si>
  <si>
    <t>✓</t>
  </si>
  <si>
    <t>-</t>
  </si>
  <si>
    <t>X</t>
  </si>
  <si>
    <t>no datasheet os Capacitores é de 33pF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</si>
</sst>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1.0"/>
    </font>
    <font>
      <b/>
    </font>
    <font>
      <u/>
      <color rgb="FF0000FF"/>
    </font>
    <font/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3" fontId="2" numFmtId="0" xfId="0" applyFill="1" applyFont="1"/>
    <xf borderId="0" fillId="2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horizontal="right" readingOrder="0"/>
    </xf>
    <xf borderId="0" fillId="3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>
        <color rgb="FFF09300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2.43"/>
    <col customWidth="1" min="2" max="2" width="8.71"/>
    <col customWidth="1" min="3" max="3" width="8.86"/>
    <col customWidth="1" min="4" max="4" width="8.57"/>
    <col customWidth="1" min="6" max="6" width="37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</row>
    <row r="2">
      <c r="A2" s="5" t="str">
        <f>HYPERLINK("https://drive.google.com/open?id=0BxhnPFzc9Rr7OHZpNzB5UnExM0U","Acionamentos")</f>
        <v>Acionamentos</v>
      </c>
      <c r="B2" s="6" t="s">
        <v>5</v>
      </c>
      <c r="C2" s="6" t="s">
        <v>6</v>
      </c>
      <c r="D2" s="6" t="s">
        <v>5</v>
      </c>
      <c r="E2" s="7"/>
    </row>
    <row r="3">
      <c r="A3" s="5" t="str">
        <f>HYPERLINK("https://drive.google.com/open?id=0BxhnPFzc9Rr7cmNsMUJIekJUbjA","Auxiliares")</f>
        <v>Auxiliares</v>
      </c>
      <c r="B3" s="6" t="s">
        <v>5</v>
      </c>
      <c r="C3" s="6" t="s">
        <v>6</v>
      </c>
      <c r="D3" s="6" t="s">
        <v>5</v>
      </c>
      <c r="E3" s="7"/>
    </row>
    <row r="4">
      <c r="A4" s="5" t="str">
        <f>HYPERLINK("https://drive.google.com/open?id=0BxhnPFzc9Rr7NXczbzA4a2RLNlU","Conexões_PIC")</f>
        <v>Conexões_PIC</v>
      </c>
      <c r="B4" s="6" t="s">
        <v>5</v>
      </c>
      <c r="C4" s="6" t="s">
        <v>6</v>
      </c>
      <c r="D4" s="6" t="s">
        <v>5</v>
      </c>
      <c r="E4" s="7"/>
    </row>
    <row r="5">
      <c r="A5" s="5" t="str">
        <f>HYPERLINK("https://drive.google.com/open?id=0BxhnPFzc9Rr7WnF5Znh0YTN5VDg","Entrada_Fonte_Chaveada")</f>
        <v>Entrada_Fonte_Chaveada</v>
      </c>
      <c r="B5" s="6" t="s">
        <v>5</v>
      </c>
      <c r="C5" s="6" t="s">
        <v>6</v>
      </c>
      <c r="D5" s="6" t="s">
        <v>5</v>
      </c>
      <c r="E5" s="7"/>
    </row>
    <row r="6">
      <c r="A6" s="5" t="str">
        <f>HYPERLINK("https://drive.google.com/open?id=0BxhnPFzc9Rr7dVNoYVdWZWJ4UVU","Estabilizador_Clock_PIC")</f>
        <v>Estabilizador_Clock_PIC</v>
      </c>
      <c r="B6" s="6" t="s">
        <v>7</v>
      </c>
      <c r="C6" s="6" t="s">
        <v>6</v>
      </c>
      <c r="D6" s="6" t="s">
        <v>5</v>
      </c>
      <c r="E6" s="7"/>
      <c r="F6" s="8" t="s">
        <v>8</v>
      </c>
    </row>
    <row r="7">
      <c r="A7" s="5" t="str">
        <f>HYPERLINK("https://drive.google.com/open?id=0BxhnPFzc9Rr7U2RpSzNDX19nZDQ","Ethernet_RJ45_PIC")</f>
        <v>Ethernet_RJ45_PIC</v>
      </c>
      <c r="B7" s="6" t="s">
        <v>5</v>
      </c>
      <c r="C7" s="6" t="s">
        <v>6</v>
      </c>
      <c r="D7" s="6" t="s">
        <v>5</v>
      </c>
      <c r="E7" s="7"/>
    </row>
    <row r="8">
      <c r="A8" s="5" t="str">
        <f>HYPERLINK("https://drive.google.com/open?id=0BxhnPFzc9Rr7dk56aWR2RlRvOU0","Fonte3.3V")</f>
        <v>Fonte3.3V</v>
      </c>
      <c r="B8" s="6" t="s">
        <v>5</v>
      </c>
      <c r="C8" s="6" t="s">
        <v>6</v>
      </c>
      <c r="D8" s="6" t="s">
        <v>5</v>
      </c>
      <c r="E8" s="7"/>
    </row>
    <row r="9">
      <c r="A9" s="5" t="str">
        <f>HYPERLINK("https://drive.google.com/open?id=0BxhnPFzc9Rr7VHZTR21ZdkJNU00","Fonte10V")</f>
        <v>Fonte10V</v>
      </c>
      <c r="B9" s="6" t="s">
        <v>5</v>
      </c>
      <c r="C9" s="6" t="s">
        <v>6</v>
      </c>
      <c r="D9" s="6" t="s">
        <v>5</v>
      </c>
      <c r="E9" s="7"/>
    </row>
    <row r="10">
      <c r="A10" s="5" t="str">
        <f>HYPERLINK("https://drive.google.com/open?id=0BxhnPFzc9Rr7LTJXbm11RW4zMG8","Gravação_PIC")</f>
        <v>Gravação_PIC</v>
      </c>
      <c r="B10" s="6" t="s">
        <v>5</v>
      </c>
      <c r="C10" s="6" t="s">
        <v>6</v>
      </c>
      <c r="D10" s="6" t="s">
        <v>5</v>
      </c>
      <c r="E10" s="7"/>
    </row>
    <row r="11">
      <c r="A11" s="5" t="str">
        <f>HYPERLINK("https://drive.google.com/open?id=0BxhnPFzc9Rr7eDJmdDJBVWtSOVE","LED_VDD_PIC_ON")</f>
        <v>LED_VDD_PIC_ON</v>
      </c>
      <c r="B11" s="6" t="s">
        <v>5</v>
      </c>
      <c r="C11" s="6" t="s">
        <v>6</v>
      </c>
      <c r="D11" s="6" t="s">
        <v>5</v>
      </c>
      <c r="E11" s="7"/>
    </row>
    <row r="12">
      <c r="A12" s="5" t="str">
        <f>HYPERLINK("https://drive.google.com/open?id=0BxhnPFzc9Rr7RE04VlNDYm02Q0k","LEDs_Testes")</f>
        <v>LEDs_Testes</v>
      </c>
      <c r="B12" s="6" t="s">
        <v>5</v>
      </c>
      <c r="C12" s="6" t="s">
        <v>6</v>
      </c>
      <c r="D12" s="6" t="s">
        <v>5</v>
      </c>
      <c r="E12" s="7"/>
    </row>
    <row r="13">
      <c r="A13" s="5" t="str">
        <f>HYPERLINK("https://drive.google.com/open?id=0BxhnPFzc9Rr7SW5DU0lHTjl6V28","Leitura_Sensores")</f>
        <v>Leitura_Sensores</v>
      </c>
      <c r="B13" s="6" t="s">
        <v>5</v>
      </c>
      <c r="C13" s="6" t="s">
        <v>6</v>
      </c>
      <c r="D13" s="6" t="s">
        <v>5</v>
      </c>
      <c r="E13" s="7"/>
    </row>
  </sheetData>
  <conditionalFormatting sqref="B2:D13">
    <cfRule type="cellIs" dxfId="0" priority="1" operator="equal">
      <formula>"✓"</formula>
    </cfRule>
  </conditionalFormatting>
  <conditionalFormatting sqref="B2:D13">
    <cfRule type="cellIs" dxfId="1" priority="2" operator="equal">
      <formula>"-"</formula>
    </cfRule>
  </conditionalFormatting>
  <conditionalFormatting sqref="B2:D13">
    <cfRule type="cellIs" dxfId="2" priority="3" operator="equal">
      <formula>"X"</formula>
    </cfRule>
  </conditionalFormatting>
  <dataValidations>
    <dataValidation type="list" allowBlank="1" sqref="B2:D13">
      <formula1>"✓,X,-"</formula1>
    </dataValidation>
  </dataValidations>
  <drawing r:id="rId1"/>
</worksheet>
</file>