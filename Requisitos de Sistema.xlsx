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Checklist à Realizar" sheetId="1" r:id="rId3"/>
    <sheet state="visible" name="Observações de Projeto" sheetId="2" r:id="rId4"/>
    <sheet state="visible" name="InovaçãoIdéias" sheetId="3" r:id="rId5"/>
    <sheet state="visible" name="Árvore Futura" sheetId="4" r:id="rId6"/>
    <sheet state="visible" name="Decisão Controlador" sheetId="5" r:id="rId7"/>
    <sheet state="visible" name="Análise Funcional" sheetId="6" r:id="rId8"/>
    <sheet state="hidden" name="Réponses au formulaire 1" sheetId="7" r:id="rId9"/>
  </sheets>
  <definedNames/>
  <calcPr/>
</workbook>
</file>

<file path=xl/sharedStrings.xml><?xml version="1.0" encoding="utf-8"?>
<sst xmlns="http://schemas.openxmlformats.org/spreadsheetml/2006/main" count="232" uniqueCount="147">
  <si>
    <t>Observações</t>
  </si>
  <si>
    <t>O Rbias (ou REBIAS) - resistor Ethernet - deve ser de 2260ohms de acordo com o datasheet - tem de ser isso !</t>
  </si>
  <si>
    <t>Setar ip fixo para o controlador e reserva-lo no roteador do consumidor</t>
  </si>
  <si>
    <t>Novos !</t>
  </si>
  <si>
    <t>Item :</t>
  </si>
  <si>
    <t>Realizado ?</t>
  </si>
  <si>
    <t>Data Limite :</t>
  </si>
  <si>
    <t>Cumpriu na Data ?</t>
  </si>
  <si>
    <t>Comentários :</t>
  </si>
  <si>
    <t>Link Referência :</t>
  </si>
  <si>
    <t>Levantar Requisitos Controlador</t>
  </si>
  <si>
    <t>✓</t>
  </si>
  <si>
    <t>O que precisa ? USB, Ethernet, Velocidade, etc...</t>
  </si>
  <si>
    <t>Diagrama Besta de Chifres</t>
  </si>
  <si>
    <t>French Model</t>
  </si>
  <si>
    <t>Diagrama de Funções</t>
  </si>
  <si>
    <t>Trimpot p/ Ativar Relay</t>
  </si>
  <si>
    <t>P/ set de tensão de ativação dos relays de 9V</t>
  </si>
  <si>
    <t>Circuito RJ45</t>
  </si>
  <si>
    <t>Magnético, Transformadores de Pulso integrados</t>
  </si>
  <si>
    <t>Lista de Componentes à Comprar</t>
  </si>
  <si>
    <t>P/ comprar o que for preciso na China</t>
  </si>
  <si>
    <t>Colocar Fusível no Projeto</t>
  </si>
  <si>
    <t>Sobrecarga pode danificar definitivamente a PCB</t>
  </si>
  <si>
    <t>http://fr.aliexpress.com/item/100pcs-lot-BLX-A-type-5-20-capped-Fuseholder-fuse-holders/32271243163.html</t>
  </si>
  <si>
    <t>Tabela de Requisitos</t>
  </si>
  <si>
    <t>Resistor Shunt p/ Corrente Lâmpada</t>
  </si>
  <si>
    <t>Medir consumo</t>
  </si>
  <si>
    <t>Conexões Leitura Tensão Rshunt</t>
  </si>
  <si>
    <t>X</t>
  </si>
  <si>
    <t>P/ puxar trilha ou soquete e ligar no PIC</t>
  </si>
  <si>
    <t>Começar Árvore Futura (Expansões)</t>
  </si>
  <si>
    <t>Velocidade</t>
  </si>
  <si>
    <t>Novas tecnologias que podem ser implementadas</t>
  </si>
  <si>
    <t>★</t>
  </si>
  <si>
    <t>Custo Componente</t>
  </si>
  <si>
    <t>Custo Placa</t>
  </si>
  <si>
    <t>Tamanho</t>
  </si>
  <si>
    <t>Troca Componente</t>
  </si>
  <si>
    <t>Robustez</t>
  </si>
  <si>
    <t>Escalabilidade</t>
  </si>
  <si>
    <t>Flash</t>
  </si>
  <si>
    <t>Memória Externa</t>
  </si>
  <si>
    <t>Soldagem</t>
  </si>
  <si>
    <t>Documentação</t>
  </si>
  <si>
    <t>Entradas</t>
  </si>
  <si>
    <t>Saídas</t>
  </si>
  <si>
    <t>Complexidade Programação</t>
  </si>
  <si>
    <t>USB</t>
  </si>
  <si>
    <t>Ethernet</t>
  </si>
  <si>
    <t>Análise Final</t>
  </si>
  <si>
    <t>Verificar Alimentação dos pinos PIC</t>
  </si>
  <si>
    <t>-</t>
  </si>
  <si>
    <t>Modelo criado está correto ?</t>
  </si>
  <si>
    <t>Retirar LEDs se RJ45 MagJack</t>
  </si>
  <si>
    <t>18F4550</t>
  </si>
  <si>
    <t>RJ45 MagJack já vem com Leds</t>
  </si>
  <si>
    <t>Decidir Soquete Extra (CCP, PWM)</t>
  </si>
  <si>
    <t>Interrupções e controle de carga por tensão</t>
  </si>
  <si>
    <t>Colocar Circuito de Sobrecorrente (?)</t>
  </si>
  <si>
    <t>Não precisa, o LM317 já tem corte de potência por sobrecarga</t>
  </si>
  <si>
    <t>Separar Projeto em grupos p/ Verificação</t>
  </si>
  <si>
    <t>Separar em grupos por funcionalidade p/ verificar funcionamento da placa</t>
  </si>
  <si>
    <t>https://drive.google.com/drive/folders/0BxhnPFzc9Rr7fi0xTFV5Rmp5VTF2djJsUDlUR2VvbGpadXZHVVdyYlhZNFdPaVdlT3o5QUk</t>
  </si>
  <si>
    <t>Calcular Potência dos Resistores</t>
  </si>
  <si>
    <t>1/4W, 1/2W, 5W, ... ?</t>
  </si>
  <si>
    <t>Montar Checklist Componentes Completo</t>
  </si>
  <si>
    <t>Montar Checklist de componentes completo (capacitores eletrolíticos, cerâmicos, etc)</t>
  </si>
  <si>
    <t>Layout Averiguar Tamanho Componentes</t>
  </si>
  <si>
    <t>Infravermelho</t>
  </si>
  <si>
    <t>Conferir tamanho dos capacitores, furações de apoio mecânico, diodos, soquetes</t>
  </si>
  <si>
    <t>Fazer Orçamento da compra dos Componentes</t>
  </si>
  <si>
    <t>Apenas o Ponto Eletrônico mandou orçamento, falta do Centro Eletrônico</t>
  </si>
  <si>
    <t>Começar WebClient</t>
  </si>
  <si>
    <t>Receber dados do Arduino</t>
  </si>
  <si>
    <t>Layout PCB c/ Adaptador SMD</t>
  </si>
  <si>
    <t>Protótipo grande (The First One)</t>
  </si>
  <si>
    <t>Layout PCB s/ Adaptador SMD</t>
  </si>
  <si>
    <t>Protótipo definitivo p/ venda</t>
  </si>
  <si>
    <t>Gravador PIC (CG)</t>
  </si>
  <si>
    <t>↑</t>
  </si>
  <si>
    <t>Gravador à pegar emprestado com Guilherme</t>
  </si>
  <si>
    <t>Colocar Pontos Calibragem Alinhamento</t>
  </si>
  <si>
    <t>Furos para alinhamento da TopCopper com a BottomCopper</t>
  </si>
  <si>
    <t>Procurar Empresas Silk Folha Transparente</t>
  </si>
  <si>
    <t>Para confeccionar as máscaras com Preto Violento</t>
  </si>
  <si>
    <t>Verificar Máscaras para Impressão</t>
  </si>
  <si>
    <t>Cores Invertidas ou não, Máscara invertida ou não, qual resina ? etc,etc,etc</t>
  </si>
  <si>
    <t>Estudar Ligação Interruptores</t>
  </si>
  <si>
    <t>Simples/Paralelo e Paralelo Composto</t>
  </si>
  <si>
    <t>18F97J60</t>
  </si>
  <si>
    <t>Sonoro
Voz</t>
  </si>
  <si>
    <t>←</t>
  </si>
  <si>
    <t>Presença
por Ponto</t>
  </si>
  <si>
    <t>⤚⤙</t>
  </si>
  <si>
    <t>ARM</t>
  </si>
  <si>
    <t>Dimmerizador
por Ponto</t>
  </si>
  <si>
    <t>Timer
por Ponto</t>
  </si>
  <si>
    <t>↓</t>
  </si>
  <si>
    <t>ARDUINO</t>
  </si>
  <si>
    <t>Imagem</t>
  </si>
  <si>
    <t>|</t>
  </si>
  <si>
    <t>Obs.1 : O ARM não foi escolhido pelo simples fato dele ser consideravelmente mais caro.</t>
  </si>
  <si>
    <t>Temperatura</t>
  </si>
  <si>
    <t>Obs.2 : O stack de ethernet ainda é uma prioridade sobre o USB.</t>
  </si>
  <si>
    <t>Obs.3 : A pouca documentação do 18F97J60 pode agir para a proteção da tecnologia a ser desenvolvida.</t>
  </si>
  <si>
    <t>ESCOLHA: 18F97J60</t>
  </si>
  <si>
    <t>Módulo
Carga Geral</t>
  </si>
  <si>
    <t>Pressão</t>
  </si>
  <si>
    <t>Dispositivos
Eletrônicos</t>
  </si>
  <si>
    <t>Controlador
Generalizado</t>
  </si>
  <si>
    <t>→</t>
  </si>
  <si>
    <t>Medidores</t>
  </si>
  <si>
    <t>Vazão</t>
  </si>
  <si>
    <t>Módulo
Iluminação</t>
  </si>
  <si>
    <t>Intesidade
Luminosa</t>
  </si>
  <si>
    <t>Sonoro</t>
  </si>
  <si>
    <t>Consumo</t>
  </si>
  <si>
    <t>Diagrama "Besta de Chifres"</t>
  </si>
  <si>
    <t xml:space="preserve">Cliente residencial </t>
  </si>
  <si>
    <t>Apaixonados por tecnologia</t>
  </si>
  <si>
    <t>Horodateur</t>
  </si>
  <si>
    <t>Pergunta sem título</t>
  </si>
  <si>
    <t xml:space="preserve">Rede elétrica residencial </t>
  </si>
  <si>
    <t>Acessibilidade limitada</t>
  </si>
  <si>
    <t>Exibidos em geral</t>
  </si>
  <si>
    <t>PCH</t>
  </si>
  <si>
    <t>Placa controle de iluminação</t>
  </si>
  <si>
    <t>Controlar/Monitorar a distância luminárias residenciais</t>
  </si>
  <si>
    <t>Gerar relatórios de consumo</t>
  </si>
  <si>
    <t xml:space="preserve">Sugerir </t>
  </si>
  <si>
    <t>comportamentos ecônomicos</t>
  </si>
  <si>
    <t>modificações de equipamentos</t>
  </si>
  <si>
    <t>Diagrama "Funções"</t>
  </si>
  <si>
    <t>Cliente Web</t>
  </si>
  <si>
    <t>Sistema de iluminação</t>
  </si>
  <si>
    <t>FP</t>
  </si>
  <si>
    <t>Ambiente de utilização</t>
  </si>
  <si>
    <t>FC1</t>
  </si>
  <si>
    <t>FC5</t>
  </si>
  <si>
    <t>Instalação</t>
  </si>
  <si>
    <t>FC2</t>
  </si>
  <si>
    <t>FC4</t>
  </si>
  <si>
    <t>Manutenção</t>
  </si>
  <si>
    <t>Material</t>
  </si>
  <si>
    <t>FC3</t>
  </si>
  <si>
    <t>Energia e alimentação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</si>
</sst>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/&quot;mm"/>
  </numFmts>
  <fonts count="12">
    <font>
      <sz val="10.0"/>
      <color rgb="FF000000"/>
      <name val="Arial"/>
    </font>
    <font>
      <b/>
      <sz val="11.0"/>
    </font>
    <font>
      <sz val="10.0"/>
    </font>
    <font>
      <b/>
    </font>
    <font/>
    <font>
      <u/>
      <color rgb="FF0000FF"/>
    </font>
    <font>
      <sz val="10.0"/>
      <color rgb="FFF1C232"/>
    </font>
    <font>
      <sz val="14.0"/>
    </font>
    <font>
      <b/>
      <sz val="12.0"/>
    </font>
    <font>
      <b/>
      <sz val="12.0"/>
      <color rgb="FF20124D"/>
    </font>
    <font>
      <b/>
      <sz val="12.0"/>
      <color rgb="FFF3F3F3"/>
    </font>
    <font>
      <b/>
      <sz val="14.0"/>
    </font>
  </fonts>
  <fills count="1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B7B7B7"/>
        <bgColor rgb="FFB7B7B7"/>
      </patternFill>
    </fill>
    <fill>
      <patternFill patternType="solid">
        <fgColor rgb="FFFF00FF"/>
        <bgColor rgb="FFFF00FF"/>
      </patternFill>
    </fill>
    <fill>
      <patternFill patternType="solid">
        <fgColor rgb="FF666666"/>
        <bgColor rgb="FF666666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A4C2F4"/>
        <bgColor rgb="FFA4C2F4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00FF"/>
      </left>
      <right style="thin">
        <color rgb="FFFF00FF"/>
      </right>
      <top style="thin">
        <color rgb="FFFF00FF"/>
      </top>
      <bottom style="thin">
        <color rgb="FFFF00FF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 readingOrder="0"/>
    </xf>
    <xf borderId="0" fillId="0" fontId="3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3" fontId="4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3" fontId="4" numFmtId="0" xfId="0" applyFont="1"/>
    <xf borderId="0" fillId="2" fontId="4" numFmtId="0" xfId="0" applyAlignment="1" applyFont="1">
      <alignment readingOrder="0"/>
    </xf>
    <xf borderId="1" fillId="4" fontId="3" numFmtId="0" xfId="0" applyAlignment="1" applyBorder="1" applyFill="1" applyFont="1">
      <alignment horizontal="center" readingOrder="0" vertical="center"/>
    </xf>
    <xf borderId="0" fillId="2" fontId="1" numFmtId="0" xfId="0" applyFont="1"/>
    <xf borderId="0" fillId="2" fontId="4" numFmtId="0" xfId="0" applyFont="1"/>
    <xf borderId="0" fillId="0" fontId="7" numFmtId="0" xfId="0" applyAlignment="1" applyFont="1">
      <alignment horizontal="center" readingOrder="0" vertical="bottom"/>
    </xf>
    <xf borderId="0" fillId="5" fontId="3" numFmtId="0" xfId="0" applyAlignment="1" applyFill="1" applyFont="1">
      <alignment readingOrder="0"/>
    </xf>
    <xf borderId="0" fillId="0" fontId="7" numFmtId="0" xfId="0" applyAlignment="1" applyFont="1">
      <alignment horizontal="right" readingOrder="0" shrinkToFit="0" vertical="center" wrapText="0"/>
    </xf>
    <xf borderId="0" fillId="5" fontId="4" numFmtId="0" xfId="0" applyAlignment="1" applyFont="1">
      <alignment readingOrder="0"/>
    </xf>
    <xf borderId="1" fillId="6" fontId="3" numFmtId="0" xfId="0" applyAlignment="1" applyBorder="1" applyFill="1" applyFont="1">
      <alignment horizontal="center" readingOrder="0" vertical="center"/>
    </xf>
    <xf borderId="0" fillId="5" fontId="1" numFmtId="0" xfId="0" applyFont="1"/>
    <xf borderId="0" fillId="5" fontId="4" numFmtId="0" xfId="0" applyFont="1"/>
    <xf borderId="0" fillId="0" fontId="7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center" readingOrder="0" vertical="top"/>
    </xf>
    <xf borderId="0" fillId="0" fontId="7" numFmtId="0" xfId="0" applyAlignment="1" applyFont="1">
      <alignment horizontal="center" readingOrder="0"/>
    </xf>
    <xf borderId="0" fillId="0" fontId="4" numFmtId="0" xfId="0" applyAlignment="1" applyFont="1">
      <alignment horizontal="center" readingOrder="0" vertical="center"/>
    </xf>
    <xf borderId="0" fillId="0" fontId="8" numFmtId="0" xfId="0" applyAlignment="1" applyFont="1">
      <alignment readingOrder="0"/>
    </xf>
    <xf borderId="1" fillId="5" fontId="3" numFmtId="0" xfId="0" applyAlignment="1" applyBorder="1" applyFont="1">
      <alignment horizontal="center" readingOrder="0" vertical="center"/>
    </xf>
    <xf borderId="0" fillId="0" fontId="9" numFmtId="0" xfId="0" applyAlignment="1" applyFont="1">
      <alignment readingOrder="0"/>
    </xf>
    <xf borderId="1" fillId="7" fontId="3" numFmtId="0" xfId="0" applyAlignment="1" applyBorder="1" applyFill="1" applyFont="1">
      <alignment horizontal="center" readingOrder="0" vertical="center"/>
    </xf>
    <xf borderId="0" fillId="8" fontId="4" numFmtId="0" xfId="0" applyFill="1" applyFont="1"/>
    <xf borderId="0" fillId="8" fontId="7" numFmtId="0" xfId="0" applyAlignment="1" applyFont="1">
      <alignment horizontal="center" readingOrder="0"/>
    </xf>
    <xf borderId="0" fillId="8" fontId="7" numFmtId="0" xfId="0" applyAlignment="1" applyFont="1">
      <alignment horizontal="center" readingOrder="0" vertical="center"/>
    </xf>
    <xf borderId="2" fillId="9" fontId="10" numFmtId="0" xfId="0" applyAlignment="1" applyBorder="1" applyFill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0" fontId="11" numFmtId="0" xfId="0" applyAlignment="1" applyFont="1">
      <alignment readingOrder="0"/>
    </xf>
    <xf borderId="3" fillId="10" fontId="3" numFmtId="0" xfId="0" applyAlignment="1" applyBorder="1" applyFill="1" applyFont="1">
      <alignment readingOrder="0"/>
    </xf>
    <xf borderId="4" fillId="0" fontId="4" numFmtId="0" xfId="0" applyBorder="1" applyFont="1"/>
    <xf borderId="5" fillId="10" fontId="4" numFmtId="0" xfId="0" applyAlignment="1" applyBorder="1" applyFont="1">
      <alignment horizontal="right" readingOrder="0"/>
    </xf>
    <xf borderId="6" fillId="0" fontId="4" numFmtId="0" xfId="0" applyBorder="1" applyFont="1"/>
    <xf borderId="7" fillId="3" fontId="3" numFmtId="0" xfId="0" applyAlignment="1" applyBorder="1" applyFont="1">
      <alignment horizontal="center" readingOrder="0"/>
    </xf>
    <xf borderId="8" fillId="0" fontId="4" numFmtId="0" xfId="0" applyBorder="1" applyFont="1"/>
    <xf borderId="9" fillId="10" fontId="4" numFmtId="0" xfId="0" applyAlignment="1" applyBorder="1" applyFont="1">
      <alignment horizontal="right" readingOrder="0"/>
    </xf>
    <xf borderId="10" fillId="0" fontId="4" numFmtId="0" xfId="0" applyBorder="1" applyFont="1"/>
    <xf borderId="5" fillId="0" fontId="4" numFmtId="0" xfId="0" applyBorder="1" applyFont="1"/>
    <xf borderId="9" fillId="0" fontId="4" numFmtId="0" xfId="0" applyBorder="1" applyFont="1"/>
    <xf borderId="3" fillId="11" fontId="3" numFmtId="0" xfId="0" applyAlignment="1" applyBorder="1" applyFill="1" applyFont="1">
      <alignment horizontal="center" readingOrder="0"/>
    </xf>
    <xf borderId="11" fillId="0" fontId="4" numFmtId="0" xfId="0" applyBorder="1" applyFont="1"/>
    <xf borderId="9" fillId="11" fontId="4" numFmtId="0" xfId="0" applyAlignment="1" applyBorder="1" applyFont="1">
      <alignment horizontal="center" readingOrder="0"/>
    </xf>
    <xf borderId="12" fillId="0" fontId="4" numFmtId="0" xfId="0" applyBorder="1" applyFont="1"/>
    <xf borderId="6" fillId="0" fontId="4" numFmtId="0" xfId="0" applyAlignment="1" applyBorder="1" applyFont="1">
      <alignment readingOrder="0"/>
    </xf>
    <xf borderId="3" fillId="12" fontId="4" numFmtId="0" xfId="0" applyAlignment="1" applyBorder="1" applyFill="1" applyFont="1">
      <alignment readingOrder="0"/>
    </xf>
    <xf borderId="5" fillId="12" fontId="4" numFmtId="0" xfId="0" applyAlignment="1" applyBorder="1" applyFont="1">
      <alignment readingOrder="0"/>
    </xf>
    <xf borderId="0" fillId="12" fontId="4" numFmtId="0" xfId="0" applyFont="1"/>
    <xf borderId="6" fillId="12" fontId="4" numFmtId="0" xfId="0" applyBorder="1" applyFont="1"/>
    <xf borderId="0" fillId="12" fontId="4" numFmtId="0" xfId="0" applyAlignment="1" applyFont="1">
      <alignment readingOrder="0"/>
    </xf>
    <xf borderId="9" fillId="12" fontId="4" numFmtId="0" xfId="0" applyBorder="1" applyFont="1"/>
    <xf borderId="12" fillId="12" fontId="4" numFmtId="0" xfId="0" applyAlignment="1" applyBorder="1" applyFont="1">
      <alignment readingOrder="0"/>
    </xf>
    <xf borderId="10" fillId="12" fontId="4" numFmtId="0" xfId="0" applyBorder="1" applyFont="1"/>
    <xf borderId="1" fillId="13" fontId="3" numFmtId="0" xfId="0" applyAlignment="1" applyBorder="1" applyFill="1" applyFont="1">
      <alignment horizontal="center" readingOrder="0"/>
    </xf>
    <xf borderId="7" fillId="13" fontId="3" numFmtId="0" xfId="0" applyAlignment="1" applyBorder="1" applyFont="1">
      <alignment horizontal="center" readingOrder="0"/>
    </xf>
    <xf borderId="9" fillId="0" fontId="4" numFmtId="0" xfId="0" applyAlignment="1" applyBorder="1" applyFont="1">
      <alignment readingOrder="0"/>
    </xf>
    <xf borderId="13" fillId="14" fontId="3" numFmtId="0" xfId="0" applyAlignment="1" applyBorder="1" applyFill="1" applyFont="1">
      <alignment horizontal="center" readingOrder="0" vertical="center"/>
    </xf>
    <xf borderId="14" fillId="0" fontId="4" numFmtId="0" xfId="0" applyBorder="1" applyFont="1"/>
    <xf borderId="7" fillId="15" fontId="3" numFmtId="0" xfId="0" applyAlignment="1" applyBorder="1" applyFill="1" applyFont="1">
      <alignment horizontal="center" readingOrder="0"/>
    </xf>
    <xf borderId="15" fillId="0" fontId="4" numFmtId="0" xfId="0" applyBorder="1" applyFont="1"/>
    <xf borderId="12" fillId="0" fontId="4" numFmtId="0" xfId="0" applyAlignment="1" applyBorder="1" applyFont="1">
      <alignment readingOrder="0"/>
    </xf>
    <xf borderId="10" fillId="0" fontId="4" numFmtId="0" xfId="0" applyAlignment="1" applyBorder="1" applyFont="1">
      <alignment readingOrder="0"/>
    </xf>
    <xf borderId="8" fillId="15" fontId="3" numFmtId="0" xfId="0" applyAlignment="1" applyBorder="1" applyFont="1">
      <alignment horizontal="center" readingOrder="0"/>
    </xf>
    <xf borderId="16" fillId="0" fontId="4" numFmtId="0" xfId="0" applyBorder="1" applyFont="1"/>
    <xf borderId="3" fillId="0" fontId="4" numFmtId="0" xfId="0" applyAlignment="1" applyBorder="1" applyFont="1">
      <alignment readingOrder="0"/>
    </xf>
    <xf borderId="3" fillId="0" fontId="4" numFmtId="0" xfId="0" applyBorder="1" applyFont="1"/>
    <xf borderId="4" fillId="0" fontId="4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</cellXfs>
  <cellStyles count="1">
    <cellStyle xfId="0" name="Normal" builtinId="0"/>
  </cellStyles>
  <dxfs count="5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fr.aliexpress.com/item/100pcs-lot-BLX-A-type-5-20-capped-Fuseholder-fuse-holders/32271243163.html" TargetMode="External"/><Relationship Id="rId2" Type="http://schemas.openxmlformats.org/officeDocument/2006/relationships/hyperlink" Target="https://drive.google.com/drive/folders/0BxhnPFzc9Rr7fi0xTFV5Rmp5VTF2djJsUDlUR2VvbGpadXZHVVdyYlhZNFdPaVdlT3o5QUk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9900FF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7.71"/>
    <col customWidth="1" min="2" max="2" width="40.29"/>
    <col customWidth="1" min="3" max="3" width="11.43"/>
    <col customWidth="1" min="4" max="4" width="12.14"/>
    <col customWidth="1" min="5" max="5" width="17.57"/>
    <col customWidth="1" min="6" max="6" width="72.29"/>
    <col customWidth="1" min="7" max="7" width="109.0"/>
  </cols>
  <sheetData>
    <row r="1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</row>
    <row r="2">
      <c r="A2" s="5"/>
      <c r="B2" s="5" t="s">
        <v>10</v>
      </c>
      <c r="C2" s="6" t="s">
        <v>11</v>
      </c>
      <c r="D2" s="7">
        <v>42186.0</v>
      </c>
      <c r="E2" s="6" t="s">
        <v>11</v>
      </c>
      <c r="F2" s="5" t="s">
        <v>12</v>
      </c>
    </row>
    <row r="3">
      <c r="A3" s="5"/>
      <c r="B3" s="5" t="s">
        <v>13</v>
      </c>
      <c r="C3" s="6" t="s">
        <v>11</v>
      </c>
      <c r="D3" s="7">
        <v>42186.0</v>
      </c>
      <c r="E3" s="6" t="s">
        <v>11</v>
      </c>
      <c r="F3" s="5" t="s">
        <v>14</v>
      </c>
    </row>
    <row r="4">
      <c r="A4" s="5"/>
      <c r="B4" s="5" t="s">
        <v>15</v>
      </c>
      <c r="C4" s="6" t="s">
        <v>11</v>
      </c>
      <c r="D4" s="7">
        <v>42186.0</v>
      </c>
      <c r="E4" s="6" t="s">
        <v>11</v>
      </c>
      <c r="F4" s="5" t="s">
        <v>14</v>
      </c>
    </row>
    <row r="5">
      <c r="A5" s="5"/>
      <c r="B5" s="5" t="s">
        <v>16</v>
      </c>
      <c r="C5" s="6" t="s">
        <v>11</v>
      </c>
      <c r="D5" s="7">
        <v>42186.0</v>
      </c>
      <c r="E5" s="6" t="s">
        <v>11</v>
      </c>
      <c r="F5" s="5" t="s">
        <v>17</v>
      </c>
    </row>
    <row r="6">
      <c r="A6" s="5"/>
      <c r="B6" s="5" t="s">
        <v>18</v>
      </c>
      <c r="C6" s="6" t="s">
        <v>11</v>
      </c>
      <c r="D6" s="7">
        <v>42186.0</v>
      </c>
      <c r="E6" s="6" t="s">
        <v>11</v>
      </c>
      <c r="F6" s="5" t="s">
        <v>19</v>
      </c>
    </row>
    <row r="7">
      <c r="A7" s="5"/>
      <c r="B7" s="5" t="s">
        <v>20</v>
      </c>
      <c r="C7" s="6" t="s">
        <v>11</v>
      </c>
      <c r="D7" s="7">
        <v>42186.0</v>
      </c>
      <c r="E7" s="6" t="s">
        <v>11</v>
      </c>
      <c r="F7" s="5" t="s">
        <v>21</v>
      </c>
    </row>
    <row r="8">
      <c r="A8" s="5"/>
      <c r="B8" s="5" t="s">
        <v>22</v>
      </c>
      <c r="C8" s="6" t="s">
        <v>11</v>
      </c>
      <c r="D8" s="7">
        <v>42187.0</v>
      </c>
      <c r="E8" s="6" t="s">
        <v>11</v>
      </c>
      <c r="F8" s="5" t="s">
        <v>23</v>
      </c>
      <c r="G8" s="8" t="s">
        <v>24</v>
      </c>
    </row>
    <row r="9">
      <c r="A9" s="5"/>
      <c r="B9" s="5" t="s">
        <v>26</v>
      </c>
      <c r="C9" s="6" t="s">
        <v>11</v>
      </c>
      <c r="D9" s="7">
        <v>42188.0</v>
      </c>
      <c r="E9" s="6" t="s">
        <v>11</v>
      </c>
      <c r="F9" s="5" t="s">
        <v>27</v>
      </c>
    </row>
    <row r="10">
      <c r="A10" s="5"/>
      <c r="B10" s="5" t="s">
        <v>28</v>
      </c>
      <c r="C10" s="6" t="s">
        <v>11</v>
      </c>
      <c r="D10" s="7">
        <v>42188.0</v>
      </c>
      <c r="E10" s="6" t="s">
        <v>29</v>
      </c>
      <c r="F10" s="5" t="s">
        <v>30</v>
      </c>
    </row>
    <row r="11">
      <c r="A11" s="5"/>
      <c r="B11" s="5" t="s">
        <v>31</v>
      </c>
      <c r="C11" s="6" t="s">
        <v>11</v>
      </c>
      <c r="D11" s="7">
        <v>42188.0</v>
      </c>
      <c r="E11" s="6" t="s">
        <v>11</v>
      </c>
      <c r="F11" s="5" t="s">
        <v>33</v>
      </c>
    </row>
    <row r="12">
      <c r="A12" s="11" t="s">
        <v>34</v>
      </c>
      <c r="B12" s="5" t="s">
        <v>51</v>
      </c>
      <c r="C12" s="6" t="s">
        <v>52</v>
      </c>
      <c r="D12" s="7">
        <v>42190.0</v>
      </c>
      <c r="E12" s="6" t="s">
        <v>29</v>
      </c>
      <c r="F12" s="5" t="s">
        <v>53</v>
      </c>
    </row>
    <row r="13">
      <c r="A13" s="5"/>
      <c r="B13" s="5" t="s">
        <v>54</v>
      </c>
      <c r="C13" s="6" t="s">
        <v>11</v>
      </c>
      <c r="D13" s="7">
        <v>42190.0</v>
      </c>
      <c r="E13" s="6" t="s">
        <v>11</v>
      </c>
      <c r="F13" s="5" t="s">
        <v>56</v>
      </c>
    </row>
    <row r="14">
      <c r="A14" s="5"/>
      <c r="B14" s="5" t="s">
        <v>57</v>
      </c>
      <c r="C14" s="6" t="s">
        <v>11</v>
      </c>
      <c r="D14" s="7">
        <v>42190.0</v>
      </c>
      <c r="E14" s="6" t="s">
        <v>29</v>
      </c>
      <c r="F14" s="5" t="s">
        <v>58</v>
      </c>
    </row>
    <row r="15">
      <c r="A15" s="5"/>
      <c r="B15" s="5" t="s">
        <v>59</v>
      </c>
      <c r="C15" s="6" t="s">
        <v>11</v>
      </c>
      <c r="D15" s="7">
        <v>42190.0</v>
      </c>
      <c r="E15" s="6" t="s">
        <v>11</v>
      </c>
      <c r="F15" s="5" t="s">
        <v>60</v>
      </c>
    </row>
    <row r="16">
      <c r="A16" s="5"/>
      <c r="B16" s="5" t="s">
        <v>61</v>
      </c>
      <c r="C16" s="6" t="s">
        <v>11</v>
      </c>
      <c r="D16" s="7">
        <v>42190.0</v>
      </c>
      <c r="E16" s="6" t="s">
        <v>11</v>
      </c>
      <c r="F16" s="5" t="s">
        <v>62</v>
      </c>
      <c r="G16" s="8" t="s">
        <v>63</v>
      </c>
    </row>
    <row r="17">
      <c r="A17" s="5"/>
      <c r="B17" s="5" t="s">
        <v>64</v>
      </c>
      <c r="C17" s="6" t="s">
        <v>11</v>
      </c>
      <c r="D17" s="7">
        <v>42190.0</v>
      </c>
      <c r="E17" s="6" t="s">
        <v>11</v>
      </c>
      <c r="F17" s="5" t="s">
        <v>65</v>
      </c>
    </row>
    <row r="18">
      <c r="A18" s="5"/>
      <c r="B18" s="5" t="s">
        <v>66</v>
      </c>
      <c r="C18" s="6" t="s">
        <v>11</v>
      </c>
      <c r="D18" s="7">
        <v>42190.0</v>
      </c>
      <c r="E18" s="6" t="s">
        <v>11</v>
      </c>
      <c r="F18" s="5" t="s">
        <v>67</v>
      </c>
    </row>
    <row r="19">
      <c r="A19" s="11" t="s">
        <v>34</v>
      </c>
      <c r="B19" s="5" t="s">
        <v>68</v>
      </c>
      <c r="C19" s="6" t="s">
        <v>52</v>
      </c>
      <c r="D19" s="7">
        <v>42190.0</v>
      </c>
      <c r="E19" s="6" t="s">
        <v>29</v>
      </c>
      <c r="F19" s="5" t="s">
        <v>70</v>
      </c>
    </row>
    <row r="20">
      <c r="A20" s="5"/>
      <c r="B20" s="5" t="s">
        <v>71</v>
      </c>
      <c r="C20" s="6" t="s">
        <v>11</v>
      </c>
      <c r="D20" s="7">
        <v>42191.0</v>
      </c>
      <c r="E20" s="6" t="s">
        <v>11</v>
      </c>
      <c r="F20" s="5" t="s">
        <v>72</v>
      </c>
    </row>
    <row r="21">
      <c r="A21" s="11" t="s">
        <v>34</v>
      </c>
      <c r="B21" s="5" t="s">
        <v>73</v>
      </c>
      <c r="C21" s="6" t="s">
        <v>52</v>
      </c>
      <c r="D21" s="7">
        <v>42197.0</v>
      </c>
      <c r="E21" s="6" t="s">
        <v>29</v>
      </c>
      <c r="F21" s="5" t="s">
        <v>74</v>
      </c>
    </row>
    <row r="22">
      <c r="A22" s="5"/>
      <c r="B22" s="5" t="s">
        <v>75</v>
      </c>
      <c r="C22" s="6" t="s">
        <v>11</v>
      </c>
      <c r="D22" s="7">
        <v>42197.0</v>
      </c>
      <c r="E22" s="6" t="s">
        <v>11</v>
      </c>
      <c r="F22" s="5" t="s">
        <v>76</v>
      </c>
    </row>
    <row r="23">
      <c r="A23" s="5"/>
      <c r="B23" s="5" t="s">
        <v>77</v>
      </c>
      <c r="C23" s="6" t="s">
        <v>11</v>
      </c>
      <c r="D23" s="7">
        <v>42197.0</v>
      </c>
      <c r="E23" s="6" t="s">
        <v>11</v>
      </c>
      <c r="F23" s="5" t="s">
        <v>78</v>
      </c>
    </row>
    <row r="24">
      <c r="A24" s="5"/>
      <c r="B24" s="5" t="s">
        <v>79</v>
      </c>
      <c r="C24" s="6" t="s">
        <v>29</v>
      </c>
      <c r="D24" s="7">
        <v>42197.0</v>
      </c>
      <c r="E24" s="6" t="s">
        <v>11</v>
      </c>
      <c r="F24" s="5" t="s">
        <v>81</v>
      </c>
    </row>
    <row r="25">
      <c r="A25" s="11" t="s">
        <v>34</v>
      </c>
      <c r="B25" s="5" t="s">
        <v>82</v>
      </c>
      <c r="C25" s="6" t="s">
        <v>52</v>
      </c>
      <c r="D25" s="7">
        <v>42200.0</v>
      </c>
      <c r="E25" s="6" t="s">
        <v>52</v>
      </c>
      <c r="F25" s="5" t="s">
        <v>83</v>
      </c>
    </row>
    <row r="26">
      <c r="A26" s="11" t="s">
        <v>34</v>
      </c>
      <c r="B26" s="5" t="s">
        <v>84</v>
      </c>
      <c r="C26" s="6" t="s">
        <v>52</v>
      </c>
      <c r="D26" s="7">
        <v>42200.0</v>
      </c>
      <c r="E26" s="6" t="s">
        <v>52</v>
      </c>
      <c r="F26" s="5" t="s">
        <v>85</v>
      </c>
    </row>
    <row r="27">
      <c r="A27" s="11" t="s">
        <v>34</v>
      </c>
      <c r="B27" s="5" t="s">
        <v>86</v>
      </c>
      <c r="C27" s="6" t="s">
        <v>52</v>
      </c>
      <c r="D27" s="7">
        <v>42204.0</v>
      </c>
      <c r="E27" s="6" t="s">
        <v>52</v>
      </c>
      <c r="F27" s="5" t="s">
        <v>87</v>
      </c>
    </row>
    <row r="28">
      <c r="A28" s="11" t="s">
        <v>34</v>
      </c>
      <c r="B28" s="5" t="s">
        <v>88</v>
      </c>
      <c r="C28" s="6" t="s">
        <v>52</v>
      </c>
      <c r="D28" s="7">
        <v>42211.0</v>
      </c>
      <c r="E28" s="6" t="s">
        <v>52</v>
      </c>
      <c r="F28" s="5" t="s">
        <v>89</v>
      </c>
    </row>
  </sheetData>
  <conditionalFormatting sqref="C2:C28 E2:E28">
    <cfRule type="cellIs" dxfId="0" priority="1" operator="equal">
      <formula>"✓"</formula>
    </cfRule>
  </conditionalFormatting>
  <conditionalFormatting sqref="C2:C28 E2:E28">
    <cfRule type="cellIs" dxfId="1" priority="2" operator="equal">
      <formula>"X"</formula>
    </cfRule>
  </conditionalFormatting>
  <conditionalFormatting sqref="C2:C28 E2:E28">
    <cfRule type="cellIs" dxfId="2" priority="3" operator="equal">
      <formula>"-"</formula>
    </cfRule>
  </conditionalFormatting>
  <conditionalFormatting sqref="D2:D28">
    <cfRule type="expression" dxfId="3" priority="4">
      <formula>AND(ISNUMBER(D2),TRUNC(D2)&gt;TODAY())</formula>
    </cfRule>
  </conditionalFormatting>
  <conditionalFormatting sqref="D2:D28">
    <cfRule type="timePeriod" dxfId="1" priority="5" timePeriod="today"/>
  </conditionalFormatting>
  <conditionalFormatting sqref="D2:D28">
    <cfRule type="expression" dxfId="4" priority="6">
      <formula>AND(ISNUMBER(D2),TRUNC(D2)&lt;TODAY())</formula>
    </cfRule>
  </conditionalFormatting>
  <dataValidations>
    <dataValidation type="list" allowBlank="1" sqref="C2:C28 E2:E28">
      <formula1>"✓,X,-"</formula1>
    </dataValidation>
  </dataValidations>
  <hyperlinks>
    <hyperlink r:id="rId1" ref="G8"/>
    <hyperlink r:id="rId2" ref="G16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sheetData>
    <row r="1">
      <c r="A1" s="1" t="s">
        <v>0</v>
      </c>
    </row>
    <row r="2">
      <c r="A2" s="2" t="s">
        <v>1</v>
      </c>
    </row>
    <row r="3">
      <c r="A3" s="3" t="s">
        <v>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4" max="4" width="3.57"/>
    <col customWidth="1" min="6" max="6" width="5.86"/>
    <col customWidth="1" min="7" max="7" width="15.29"/>
    <col customWidth="1" min="8" max="8" width="5.86"/>
    <col customWidth="1" min="10" max="10" width="3.57"/>
  </cols>
  <sheetData>
    <row r="2">
      <c r="E2" s="14" t="s">
        <v>69</v>
      </c>
    </row>
    <row r="3">
      <c r="E3" s="17" t="s">
        <v>80</v>
      </c>
    </row>
    <row r="4">
      <c r="C4" s="14" t="s">
        <v>91</v>
      </c>
      <c r="D4" s="19" t="s">
        <v>92</v>
      </c>
      <c r="E4" s="21" t="s">
        <v>93</v>
      </c>
      <c r="F4" s="24" t="s">
        <v>94</v>
      </c>
      <c r="G4" s="21" t="s">
        <v>96</v>
      </c>
      <c r="H4" s="24" t="s">
        <v>94</v>
      </c>
      <c r="I4" s="21" t="s">
        <v>97</v>
      </c>
    </row>
    <row r="5">
      <c r="E5" s="25" t="s">
        <v>98</v>
      </c>
      <c r="G5" s="26" t="s">
        <v>80</v>
      </c>
    </row>
    <row r="6">
      <c r="E6" s="14" t="s">
        <v>100</v>
      </c>
      <c r="G6" s="27" t="s">
        <v>101</v>
      </c>
      <c r="K6" s="29" t="s">
        <v>103</v>
      </c>
    </row>
    <row r="7">
      <c r="G7" s="27" t="s">
        <v>101</v>
      </c>
      <c r="K7" s="27" t="s">
        <v>101</v>
      </c>
    </row>
    <row r="8">
      <c r="G8" s="31" t="s">
        <v>107</v>
      </c>
      <c r="K8" s="29" t="s">
        <v>108</v>
      </c>
    </row>
    <row r="9">
      <c r="F9" s="32"/>
      <c r="G9" s="33" t="s">
        <v>80</v>
      </c>
      <c r="H9" s="32"/>
      <c r="K9" s="27" t="s">
        <v>101</v>
      </c>
    </row>
    <row r="10">
      <c r="E10" s="31" t="s">
        <v>109</v>
      </c>
      <c r="F10" s="34" t="s">
        <v>92</v>
      </c>
      <c r="G10" s="35" t="s">
        <v>110</v>
      </c>
      <c r="H10" s="34" t="s">
        <v>111</v>
      </c>
      <c r="I10" s="31" t="s">
        <v>112</v>
      </c>
      <c r="J10" s="36" t="s">
        <v>111</v>
      </c>
      <c r="K10" s="29" t="s">
        <v>113</v>
      </c>
    </row>
    <row r="11">
      <c r="F11" s="32"/>
      <c r="G11" s="33" t="s">
        <v>98</v>
      </c>
      <c r="H11" s="32"/>
      <c r="K11" s="27" t="s">
        <v>101</v>
      </c>
    </row>
    <row r="12">
      <c r="G12" s="31" t="s">
        <v>114</v>
      </c>
      <c r="K12" s="29" t="s">
        <v>115</v>
      </c>
    </row>
    <row r="13">
      <c r="E13" s="17"/>
      <c r="G13" s="27" t="s">
        <v>101</v>
      </c>
      <c r="K13" s="27" t="s">
        <v>101</v>
      </c>
    </row>
    <row r="14">
      <c r="E14" s="14" t="s">
        <v>69</v>
      </c>
      <c r="G14" s="27" t="s">
        <v>101</v>
      </c>
      <c r="K14" s="29" t="s">
        <v>116</v>
      </c>
    </row>
    <row r="15">
      <c r="E15" s="17" t="s">
        <v>80</v>
      </c>
      <c r="G15" s="26" t="s">
        <v>98</v>
      </c>
      <c r="K15" s="27" t="s">
        <v>101</v>
      </c>
    </row>
    <row r="16">
      <c r="C16" s="14" t="s">
        <v>91</v>
      </c>
      <c r="D16" s="19" t="s">
        <v>92</v>
      </c>
      <c r="E16" s="21" t="s">
        <v>93</v>
      </c>
      <c r="F16" s="24" t="s">
        <v>94</v>
      </c>
      <c r="G16" s="21" t="s">
        <v>96</v>
      </c>
      <c r="H16" s="24" t="s">
        <v>94</v>
      </c>
      <c r="I16" s="21" t="s">
        <v>97</v>
      </c>
      <c r="K16" s="29" t="s">
        <v>117</v>
      </c>
    </row>
    <row r="17">
      <c r="E17" s="25" t="s">
        <v>98</v>
      </c>
    </row>
    <row r="18">
      <c r="E18" s="14" t="s">
        <v>100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19.57"/>
    <col customWidth="1" min="2" max="2" width="10.14"/>
    <col customWidth="1" min="3" max="3" width="16.86"/>
    <col customWidth="1" min="4" max="4" width="11.14"/>
    <col customWidth="1" min="5" max="5" width="8.71"/>
    <col customWidth="1" min="6" max="6" width="16.71"/>
    <col customWidth="1" min="7" max="7" width="8.86"/>
    <col customWidth="1" min="8" max="8" width="13.0"/>
    <col customWidth="1" min="9" max="9" width="5.57"/>
    <col customWidth="1" min="10" max="10" width="15.14"/>
    <col customWidth="1" min="11" max="11" width="9.29"/>
    <col customWidth="1" min="12" max="12" width="13.43"/>
    <col customWidth="1" min="13" max="13" width="8.43"/>
    <col customWidth="1" min="14" max="14" width="6.86"/>
    <col customWidth="1" min="15" max="15" width="24.29"/>
    <col customWidth="1" min="16" max="16" width="4.86"/>
    <col customWidth="1" min="17" max="17" width="8.0"/>
    <col customWidth="1" min="18" max="18" width="12.57"/>
  </cols>
  <sheetData>
    <row r="1">
      <c r="A1" s="9" t="s">
        <v>25</v>
      </c>
      <c r="B1" s="10" t="s">
        <v>32</v>
      </c>
      <c r="C1" s="10" t="s">
        <v>35</v>
      </c>
      <c r="D1" s="10" t="s">
        <v>36</v>
      </c>
      <c r="E1" s="10" t="s">
        <v>37</v>
      </c>
      <c r="F1" s="10" t="s">
        <v>38</v>
      </c>
      <c r="G1" s="10" t="s">
        <v>39</v>
      </c>
      <c r="H1" s="10" t="s">
        <v>40</v>
      </c>
      <c r="I1" s="10" t="s">
        <v>41</v>
      </c>
      <c r="J1" s="10" t="s">
        <v>42</v>
      </c>
      <c r="K1" s="10" t="s">
        <v>43</v>
      </c>
      <c r="L1" s="10" t="s">
        <v>44</v>
      </c>
      <c r="M1" s="10" t="s">
        <v>45</v>
      </c>
      <c r="N1" s="10" t="s">
        <v>46</v>
      </c>
      <c r="O1" s="10" t="s">
        <v>47</v>
      </c>
      <c r="P1" s="10" t="s">
        <v>48</v>
      </c>
      <c r="Q1" s="10" t="s">
        <v>49</v>
      </c>
      <c r="R1" s="9" t="s">
        <v>50</v>
      </c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>
      <c r="A2" s="4" t="s">
        <v>55</v>
      </c>
      <c r="B2" s="13">
        <v>2.0</v>
      </c>
      <c r="C2" s="13">
        <v>4.0</v>
      </c>
      <c r="D2" s="13">
        <v>4.0</v>
      </c>
      <c r="E2" s="13">
        <v>2.0</v>
      </c>
      <c r="F2" s="13">
        <v>4.0</v>
      </c>
      <c r="G2" s="13">
        <v>2.0</v>
      </c>
      <c r="H2" s="13">
        <v>2.0</v>
      </c>
      <c r="I2" s="13">
        <v>2.0</v>
      </c>
      <c r="J2" s="13">
        <v>2.0</v>
      </c>
      <c r="K2" s="13">
        <v>3.0</v>
      </c>
      <c r="L2" s="13">
        <v>3.0</v>
      </c>
      <c r="M2" s="13">
        <v>2.0</v>
      </c>
      <c r="N2" s="13">
        <v>2.0</v>
      </c>
      <c r="O2" s="13">
        <v>3.0</v>
      </c>
      <c r="P2" s="13">
        <v>2.0</v>
      </c>
      <c r="Q2" s="13">
        <v>1.0</v>
      </c>
      <c r="R2" s="15">
        <f t="shared" ref="R2:R5" si="1">SUM(B2:Q2)</f>
        <v>40</v>
      </c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>
      <c r="A3" s="18" t="s">
        <v>90</v>
      </c>
      <c r="B3" s="20">
        <v>3.0</v>
      </c>
      <c r="C3" s="20">
        <v>3.0</v>
      </c>
      <c r="D3" s="20">
        <v>3.0</v>
      </c>
      <c r="E3" s="20">
        <v>3.0</v>
      </c>
      <c r="F3" s="20">
        <v>2.0</v>
      </c>
      <c r="G3" s="20">
        <v>3.0</v>
      </c>
      <c r="H3" s="20">
        <v>3.0</v>
      </c>
      <c r="I3" s="20">
        <v>3.0</v>
      </c>
      <c r="J3" s="20">
        <v>3.0</v>
      </c>
      <c r="K3" s="20">
        <v>2.0</v>
      </c>
      <c r="L3" s="20">
        <v>2.0</v>
      </c>
      <c r="M3" s="20">
        <v>3.0</v>
      </c>
      <c r="N3" s="20">
        <v>3.0</v>
      </c>
      <c r="O3" s="20">
        <v>2.0</v>
      </c>
      <c r="P3" s="20">
        <v>1.0</v>
      </c>
      <c r="Q3" s="20">
        <v>2.0</v>
      </c>
      <c r="R3" s="22">
        <f t="shared" si="1"/>
        <v>41</v>
      </c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>
      <c r="A4" s="4" t="s">
        <v>95</v>
      </c>
      <c r="B4" s="13">
        <v>4.0</v>
      </c>
      <c r="C4" s="13">
        <v>1.0</v>
      </c>
      <c r="D4" s="13">
        <v>1.0</v>
      </c>
      <c r="E4" s="13">
        <v>4.0</v>
      </c>
      <c r="F4" s="13">
        <v>1.0</v>
      </c>
      <c r="G4" s="13">
        <v>4.0</v>
      </c>
      <c r="H4" s="13">
        <v>4.0</v>
      </c>
      <c r="I4" s="13">
        <v>4.0</v>
      </c>
      <c r="J4" s="13">
        <v>4.0</v>
      </c>
      <c r="K4" s="13">
        <v>1.0</v>
      </c>
      <c r="L4" s="13">
        <v>1.0</v>
      </c>
      <c r="M4" s="13">
        <v>4.0</v>
      </c>
      <c r="N4" s="13">
        <v>4.0</v>
      </c>
      <c r="O4" s="13">
        <v>1.0</v>
      </c>
      <c r="P4" s="13">
        <v>3.0</v>
      </c>
      <c r="Q4" s="13">
        <v>3.0</v>
      </c>
      <c r="R4" s="15">
        <f t="shared" si="1"/>
        <v>44</v>
      </c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</row>
    <row r="5">
      <c r="A5" s="18" t="s">
        <v>99</v>
      </c>
      <c r="B5" s="20">
        <v>1.0</v>
      </c>
      <c r="C5" s="20">
        <v>2.0</v>
      </c>
      <c r="D5" s="20">
        <v>2.0</v>
      </c>
      <c r="E5" s="20">
        <v>1.0</v>
      </c>
      <c r="F5" s="20">
        <v>3.0</v>
      </c>
      <c r="G5" s="20">
        <v>1.0</v>
      </c>
      <c r="H5" s="20">
        <v>1.0</v>
      </c>
      <c r="I5" s="20">
        <v>1.0</v>
      </c>
      <c r="J5" s="20">
        <v>1.0</v>
      </c>
      <c r="K5" s="20">
        <v>4.0</v>
      </c>
      <c r="L5" s="20">
        <v>4.0</v>
      </c>
      <c r="M5" s="20">
        <v>1.0</v>
      </c>
      <c r="N5" s="20">
        <v>1.0</v>
      </c>
      <c r="O5" s="20">
        <v>4.0</v>
      </c>
      <c r="P5" s="20">
        <v>4.0</v>
      </c>
      <c r="Q5" s="20">
        <v>4.0</v>
      </c>
      <c r="R5" s="22">
        <f t="shared" si="1"/>
        <v>35</v>
      </c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7">
      <c r="A7" s="28" t="s">
        <v>102</v>
      </c>
    </row>
    <row r="8">
      <c r="A8" s="28" t="s">
        <v>104</v>
      </c>
    </row>
    <row r="9">
      <c r="A9" s="28" t="s">
        <v>105</v>
      </c>
    </row>
    <row r="11">
      <c r="A11" s="30" t="s">
        <v>106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6" max="6" width="15.29"/>
  </cols>
  <sheetData>
    <row r="1">
      <c r="A1" s="37" t="s">
        <v>118</v>
      </c>
    </row>
    <row r="3">
      <c r="B3" s="38" t="s">
        <v>119</v>
      </c>
      <c r="C3" s="39"/>
    </row>
    <row r="4">
      <c r="B4" s="40" t="s">
        <v>120</v>
      </c>
      <c r="C4" s="41"/>
      <c r="G4" s="42" t="s">
        <v>123</v>
      </c>
      <c r="H4" s="43"/>
    </row>
    <row r="5">
      <c r="B5" s="40" t="s">
        <v>124</v>
      </c>
      <c r="C5" s="41"/>
      <c r="G5" s="41"/>
    </row>
    <row r="6">
      <c r="B6" s="44" t="s">
        <v>125</v>
      </c>
      <c r="C6" s="45"/>
      <c r="G6" s="41"/>
    </row>
    <row r="7">
      <c r="C7" s="46"/>
      <c r="G7" s="41"/>
    </row>
    <row r="8">
      <c r="C8" s="46"/>
      <c r="G8" s="41"/>
    </row>
    <row r="9">
      <c r="C9" s="46"/>
      <c r="G9" s="41"/>
    </row>
    <row r="10">
      <c r="C10" s="47"/>
      <c r="D10" s="48" t="s">
        <v>126</v>
      </c>
      <c r="E10" s="49"/>
      <c r="F10" s="39"/>
      <c r="G10" s="45"/>
    </row>
    <row r="11">
      <c r="D11" s="50" t="s">
        <v>127</v>
      </c>
      <c r="E11" s="51"/>
      <c r="F11" s="45"/>
    </row>
    <row r="12">
      <c r="E12" s="41"/>
    </row>
    <row r="13">
      <c r="E13" s="41"/>
    </row>
    <row r="14">
      <c r="E14" s="41"/>
    </row>
    <row r="15">
      <c r="E15" s="52"/>
    </row>
    <row r="16">
      <c r="D16" s="53" t="s">
        <v>128</v>
      </c>
      <c r="E16" s="49"/>
      <c r="F16" s="39"/>
    </row>
    <row r="17">
      <c r="D17" s="54" t="s">
        <v>129</v>
      </c>
      <c r="E17" s="55"/>
      <c r="F17" s="56"/>
    </row>
    <row r="18">
      <c r="D18" s="54" t="s">
        <v>130</v>
      </c>
      <c r="E18" s="57" t="s">
        <v>131</v>
      </c>
      <c r="F18" s="56"/>
    </row>
    <row r="19">
      <c r="D19" s="58"/>
      <c r="E19" s="59" t="s">
        <v>132</v>
      </c>
      <c r="F19" s="60"/>
    </row>
    <row r="22">
      <c r="A22" s="37" t="s">
        <v>133</v>
      </c>
    </row>
    <row r="28">
      <c r="C28" s="61" t="s">
        <v>134</v>
      </c>
      <c r="G28" s="62" t="s">
        <v>135</v>
      </c>
      <c r="H28" s="43"/>
    </row>
    <row r="29">
      <c r="D29" s="46"/>
      <c r="F29" s="41"/>
    </row>
    <row r="30">
      <c r="D30" s="46"/>
      <c r="F30" s="41"/>
    </row>
    <row r="31">
      <c r="D31" s="46"/>
      <c r="F31" s="41"/>
    </row>
    <row r="32">
      <c r="D32" s="63" t="s">
        <v>136</v>
      </c>
      <c r="F32" s="45"/>
    </row>
    <row r="33">
      <c r="D33" s="5"/>
      <c r="E33" s="64" t="s">
        <v>126</v>
      </c>
    </row>
    <row r="34">
      <c r="E34" s="65"/>
    </row>
    <row r="35">
      <c r="A35" s="66" t="s">
        <v>137</v>
      </c>
      <c r="B35" s="67"/>
      <c r="C35" s="43"/>
      <c r="D35" s="68" t="s">
        <v>138</v>
      </c>
      <c r="E35" s="65"/>
      <c r="F35" s="69" t="s">
        <v>139</v>
      </c>
      <c r="G35" s="70" t="s">
        <v>140</v>
      </c>
    </row>
    <row r="36">
      <c r="E36" s="65"/>
    </row>
    <row r="37">
      <c r="E37" s="71"/>
    </row>
    <row r="38">
      <c r="D38" s="72" t="s">
        <v>141</v>
      </c>
      <c r="E38" s="73"/>
      <c r="F38" s="74" t="s">
        <v>142</v>
      </c>
    </row>
    <row r="39">
      <c r="C39" s="66" t="s">
        <v>143</v>
      </c>
      <c r="D39" s="46"/>
      <c r="E39" s="46"/>
      <c r="F39" s="41"/>
      <c r="G39" s="70" t="s">
        <v>144</v>
      </c>
    </row>
    <row r="40">
      <c r="E40" s="46"/>
    </row>
    <row r="41">
      <c r="E41" s="75" t="s">
        <v>145</v>
      </c>
    </row>
    <row r="42">
      <c r="D42" s="66" t="s">
        <v>146</v>
      </c>
      <c r="E42" s="67"/>
      <c r="F42" s="43"/>
    </row>
  </sheetData>
  <mergeCells count="12">
    <mergeCell ref="B5:C5"/>
    <mergeCell ref="D11:F11"/>
    <mergeCell ref="B6:C6"/>
    <mergeCell ref="D10:F10"/>
    <mergeCell ref="B4:C4"/>
    <mergeCell ref="G4:H4"/>
    <mergeCell ref="B3:C3"/>
    <mergeCell ref="E33:E37"/>
    <mergeCell ref="A35:C35"/>
    <mergeCell ref="D42:F42"/>
    <mergeCell ref="G28:H28"/>
    <mergeCell ref="D16:F1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2" width="21.57"/>
  </cols>
  <sheetData>
    <row r="1">
      <c r="A1" t="s">
        <v>121</v>
      </c>
      <c r="B1" s="5" t="s">
        <v>122</v>
      </c>
    </row>
  </sheetData>
  <drawing r:id="rId1"/>
</worksheet>
</file>